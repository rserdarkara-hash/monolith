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BmbP5777GN2LukwzMk3q/L6RGbjolcjCKGSkQDo2kY="/>
    </ext>
  </extLst>
</workbook>
</file>

<file path=xl/sharedStrings.xml><?xml version="1.0" encoding="utf-8"?>
<sst xmlns="http://schemas.openxmlformats.org/spreadsheetml/2006/main" count="86" uniqueCount="47">
  <si>
    <t>sample_no</t>
  </si>
  <si>
    <t>ec</t>
  </si>
  <si>
    <t>ph</t>
  </si>
  <si>
    <t>som</t>
  </si>
  <si>
    <t>saturated_vwc</t>
  </si>
  <si>
    <t>on_field_vwc</t>
  </si>
  <si>
    <t>bulk_density</t>
  </si>
  <si>
    <t>porosity</t>
  </si>
  <si>
    <t>ksat</t>
  </si>
  <si>
    <t>ksat_w_pf</t>
  </si>
  <si>
    <t>clay</t>
  </si>
  <si>
    <t>silt</t>
  </si>
  <si>
    <t>sand</t>
  </si>
  <si>
    <t>ksat_lowedge</t>
  </si>
  <si>
    <t>flow</t>
  </si>
  <si>
    <t>particle_density</t>
  </si>
  <si>
    <t>field_capacity</t>
  </si>
  <si>
    <t>wilting_point</t>
  </si>
  <si>
    <t>available_water_capacity</t>
  </si>
  <si>
    <t>point id</t>
  </si>
  <si>
    <t>latitude</t>
  </si>
  <si>
    <t>longitude</t>
  </si>
  <si>
    <t>locality</t>
  </si>
  <si>
    <t>RF</t>
  </si>
  <si>
    <t>Pin 1</t>
  </si>
  <si>
    <t>Strasov</t>
  </si>
  <si>
    <t>Pin 2</t>
  </si>
  <si>
    <t>PF</t>
  </si>
  <si>
    <t>Pin 3</t>
  </si>
  <si>
    <t>Pin 4</t>
  </si>
  <si>
    <t>Pin 5</t>
  </si>
  <si>
    <t>Pin 6</t>
  </si>
  <si>
    <t>Pin 7</t>
  </si>
  <si>
    <t>Pin 8</t>
  </si>
  <si>
    <t>Pin 9</t>
  </si>
  <si>
    <t>Pin 10</t>
  </si>
  <si>
    <t>Pin 11</t>
  </si>
  <si>
    <t>Pin 12</t>
  </si>
  <si>
    <t>Pin 13</t>
  </si>
  <si>
    <t>Pin 14</t>
  </si>
  <si>
    <t>Pin 15</t>
  </si>
  <si>
    <t>Pin 16</t>
  </si>
  <si>
    <t>Pin 17</t>
  </si>
  <si>
    <t>Pin 18</t>
  </si>
  <si>
    <t>Pin 19</t>
  </si>
  <si>
    <t>Pin 20</t>
  </si>
  <si>
    <t>Pin 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</si>
</sst>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0.0000000000"/>
  </numFmts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/>
    </xf>
    <xf borderId="0" fillId="0" fontId="2" numFmtId="4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Font="1"/>
    <xf borderId="0" fillId="0" fontId="3" numFmtId="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horizontal="right" vertical="bottom"/>
    </xf>
    <xf borderId="0" fillId="0" fontId="2" numFmtId="4" xfId="0" applyAlignment="1" applyFont="1" applyNumberFormat="1">
      <alignment vertical="bottom"/>
    </xf>
    <xf borderId="0" fillId="0" fontId="2" numFmtId="0" xfId="0" applyAlignment="1" applyFont="1">
      <alignment horizontal="right" vertical="bottom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4" t="s">
        <v>22</v>
      </c>
    </row>
    <row r="2" ht="15.75" customHeight="1">
      <c r="A2" s="5">
        <v>1.0</v>
      </c>
      <c r="B2" s="6">
        <v>129.30440771349862</v>
      </c>
      <c r="C2" s="6">
        <v>7.52</v>
      </c>
      <c r="D2" s="6">
        <v>5.0960875484704875</v>
      </c>
      <c r="E2" s="6">
        <v>45.6</v>
      </c>
      <c r="F2" s="6">
        <v>24.515999999999963</v>
      </c>
      <c r="G2" s="7">
        <v>1.4995600000000004</v>
      </c>
      <c r="H2" s="6">
        <f t="shared" ref="H2:H22" si="1">(1-(G2/P2))*100</f>
        <v>41.72019937</v>
      </c>
      <c r="I2" s="6">
        <v>2.6666666666666665</v>
      </c>
      <c r="J2" s="6">
        <v>2.6666666666666665</v>
      </c>
      <c r="K2" s="6">
        <v>22.0</v>
      </c>
      <c r="L2" s="6">
        <v>11.0</v>
      </c>
      <c r="M2" s="6">
        <v>67.0</v>
      </c>
      <c r="N2" s="6">
        <v>2.6666666666666665</v>
      </c>
      <c r="O2" s="8" t="s">
        <v>23</v>
      </c>
      <c r="P2" s="6">
        <v>2.573035569237149</v>
      </c>
      <c r="Q2" s="6">
        <v>24.51</v>
      </c>
      <c r="R2" s="6">
        <v>15.58</v>
      </c>
      <c r="S2" s="9">
        <f t="shared" ref="S2:S22" si="2">Q2-R2</f>
        <v>8.93</v>
      </c>
      <c r="T2" s="10" t="s">
        <v>24</v>
      </c>
      <c r="U2" s="11">
        <v>50.0896</v>
      </c>
      <c r="V2" s="11">
        <v>15.507524366</v>
      </c>
      <c r="W2" s="4" t="s">
        <v>25</v>
      </c>
    </row>
    <row r="3" ht="15.75" customHeight="1">
      <c r="A3" s="5">
        <v>2.0</v>
      </c>
      <c r="B3" s="6">
        <v>171.0966183574879</v>
      </c>
      <c r="C3" s="6">
        <v>7.95</v>
      </c>
      <c r="D3" s="6">
        <v>4.942473372781064</v>
      </c>
      <c r="E3" s="6">
        <v>42.15999999999999</v>
      </c>
      <c r="F3" s="6">
        <v>24.128000000000018</v>
      </c>
      <c r="G3" s="7">
        <v>1.5561599999999998</v>
      </c>
      <c r="H3" s="6">
        <f t="shared" si="1"/>
        <v>39.14178922</v>
      </c>
      <c r="I3" s="6">
        <v>18.666666666666668</v>
      </c>
      <c r="J3" s="6">
        <v>18.666666666666668</v>
      </c>
      <c r="K3" s="6">
        <v>22.0</v>
      </c>
      <c r="L3" s="6">
        <v>12.0</v>
      </c>
      <c r="M3" s="6">
        <v>66.0</v>
      </c>
      <c r="N3" s="6">
        <v>18.666666666666668</v>
      </c>
      <c r="O3" s="8" t="s">
        <v>23</v>
      </c>
      <c r="P3" s="6">
        <v>2.557025551789069</v>
      </c>
      <c r="Q3" s="6">
        <v>28.1</v>
      </c>
      <c r="R3" s="6">
        <v>17.84</v>
      </c>
      <c r="S3" s="9">
        <f t="shared" si="2"/>
        <v>10.26</v>
      </c>
      <c r="T3" s="10" t="s">
        <v>26</v>
      </c>
      <c r="U3" s="11">
        <v>50.089817</v>
      </c>
      <c r="V3" s="11">
        <v>15.509355496</v>
      </c>
      <c r="W3" s="4" t="s">
        <v>25</v>
      </c>
    </row>
    <row r="4" ht="15.75" customHeight="1">
      <c r="A4" s="5">
        <v>3.0</v>
      </c>
      <c r="B4" s="6">
        <v>179.10020449897752</v>
      </c>
      <c r="C4" s="6">
        <v>8.01</v>
      </c>
      <c r="D4" s="6">
        <v>5.138527309018325</v>
      </c>
      <c r="E4" s="6">
        <v>46.752</v>
      </c>
      <c r="F4" s="6">
        <v>21.99999999999998</v>
      </c>
      <c r="G4" s="7">
        <v>1.3521200000000004</v>
      </c>
      <c r="H4" s="6">
        <f t="shared" si="1"/>
        <v>46.71648809</v>
      </c>
      <c r="I4" s="12"/>
      <c r="J4" s="6">
        <v>348.0</v>
      </c>
      <c r="K4" s="6">
        <v>23.0</v>
      </c>
      <c r="L4" s="6">
        <v>9.0</v>
      </c>
      <c r="M4" s="6">
        <v>68.0</v>
      </c>
      <c r="N4" s="12"/>
      <c r="O4" s="8" t="s">
        <v>27</v>
      </c>
      <c r="P4" s="6">
        <v>2.5375954991336123</v>
      </c>
      <c r="Q4" s="6">
        <v>29.74</v>
      </c>
      <c r="R4" s="6">
        <v>18.09</v>
      </c>
      <c r="S4" s="9">
        <f t="shared" si="2"/>
        <v>11.65</v>
      </c>
      <c r="T4" s="10" t="s">
        <v>28</v>
      </c>
      <c r="U4" s="11">
        <v>50.089893</v>
      </c>
      <c r="V4" s="11">
        <v>15.51145311</v>
      </c>
      <c r="W4" s="4" t="s">
        <v>25</v>
      </c>
    </row>
    <row r="5" ht="15.75" customHeight="1">
      <c r="A5" s="5">
        <v>4.0</v>
      </c>
      <c r="B5" s="6">
        <v>225.68346073662266</v>
      </c>
      <c r="C5" s="6">
        <v>8.04</v>
      </c>
      <c r="D5" s="6">
        <v>5.602739734299518</v>
      </c>
      <c r="E5" s="6">
        <v>51.41680000000001</v>
      </c>
      <c r="F5" s="6">
        <v>28.272800000000032</v>
      </c>
      <c r="G5" s="7">
        <v>1.374232</v>
      </c>
      <c r="H5" s="6">
        <f t="shared" si="1"/>
        <v>46.43320679</v>
      </c>
      <c r="I5" s="6">
        <v>15.0</v>
      </c>
      <c r="J5" s="6">
        <v>15.0</v>
      </c>
      <c r="K5" s="6">
        <v>27.0</v>
      </c>
      <c r="L5" s="6">
        <v>8.0</v>
      </c>
      <c r="M5" s="6">
        <v>65.0</v>
      </c>
      <c r="N5" s="6">
        <v>15.0</v>
      </c>
      <c r="O5" s="8" t="s">
        <v>23</v>
      </c>
      <c r="P5" s="6">
        <v>2.5654550472813726</v>
      </c>
      <c r="Q5" s="12"/>
      <c r="R5" s="12"/>
      <c r="S5" s="9">
        <f t="shared" si="2"/>
        <v>0</v>
      </c>
      <c r="T5" s="10" t="s">
        <v>29</v>
      </c>
      <c r="U5" s="11">
        <v>50.089322</v>
      </c>
      <c r="V5" s="11">
        <v>15.513293756</v>
      </c>
      <c r="W5" s="4" t="s">
        <v>25</v>
      </c>
    </row>
    <row r="6" ht="15.75" customHeight="1">
      <c r="A6" s="5">
        <v>5.0</v>
      </c>
      <c r="B6" s="6">
        <v>209.48275862068965</v>
      </c>
      <c r="C6" s="6">
        <v>8.19</v>
      </c>
      <c r="D6" s="6">
        <v>4.100038358266205</v>
      </c>
      <c r="E6" s="6">
        <v>45.57600000000002</v>
      </c>
      <c r="F6" s="6">
        <v>29.359999999999992</v>
      </c>
      <c r="G6" s="7">
        <v>1.4793600000000002</v>
      </c>
      <c r="H6" s="6">
        <f t="shared" si="1"/>
        <v>42.61325636</v>
      </c>
      <c r="I6" s="6">
        <v>22.333333333333332</v>
      </c>
      <c r="J6" s="6">
        <v>22.333333333333332</v>
      </c>
      <c r="K6" s="6">
        <v>22.0</v>
      </c>
      <c r="L6" s="6">
        <v>8.0</v>
      </c>
      <c r="M6" s="6">
        <v>70.0</v>
      </c>
      <c r="N6" s="6">
        <v>22.333333333333332</v>
      </c>
      <c r="O6" s="8" t="s">
        <v>23</v>
      </c>
      <c r="P6" s="6">
        <v>2.577877583013584</v>
      </c>
      <c r="Q6" s="6">
        <v>29.66</v>
      </c>
      <c r="R6" s="6">
        <v>18.64</v>
      </c>
      <c r="S6" s="9">
        <f t="shared" si="2"/>
        <v>11.02</v>
      </c>
      <c r="T6" s="10" t="s">
        <v>30</v>
      </c>
      <c r="U6" s="11">
        <v>50.088987</v>
      </c>
      <c r="V6" s="11">
        <v>15.515244358</v>
      </c>
      <c r="W6" s="4" t="s">
        <v>25</v>
      </c>
    </row>
    <row r="7" ht="15.75" customHeight="1">
      <c r="A7" s="5">
        <v>6.0</v>
      </c>
      <c r="B7" s="6">
        <v>139.55892487939354</v>
      </c>
      <c r="C7" s="6">
        <v>7.055</v>
      </c>
      <c r="D7" s="6">
        <v>4.6338326701357015</v>
      </c>
      <c r="E7" s="6">
        <v>45.903999999999996</v>
      </c>
      <c r="F7" s="6">
        <v>27.08799999999999</v>
      </c>
      <c r="G7" s="7">
        <v>1.3801200000000002</v>
      </c>
      <c r="H7" s="6">
        <f t="shared" si="1"/>
        <v>46.49814063</v>
      </c>
      <c r="I7" s="6">
        <v>10.0</v>
      </c>
      <c r="J7" s="6">
        <v>10.0</v>
      </c>
      <c r="K7" s="6">
        <v>22.0</v>
      </c>
      <c r="L7" s="6">
        <v>9.0</v>
      </c>
      <c r="M7" s="6">
        <v>69.0</v>
      </c>
      <c r="N7" s="6">
        <v>10.0</v>
      </c>
      <c r="O7" s="8" t="s">
        <v>23</v>
      </c>
      <c r="P7" s="6">
        <v>2.5795738991921784</v>
      </c>
      <c r="Q7" s="6">
        <v>30.87</v>
      </c>
      <c r="R7" s="6">
        <v>19.27</v>
      </c>
      <c r="S7" s="9">
        <f t="shared" si="2"/>
        <v>11.6</v>
      </c>
      <c r="T7" s="10" t="s">
        <v>31</v>
      </c>
      <c r="U7" s="11">
        <v>50.088358</v>
      </c>
      <c r="V7" s="11">
        <v>15.516913126</v>
      </c>
      <c r="W7" s="4" t="s">
        <v>25</v>
      </c>
    </row>
    <row r="8" ht="15.75" customHeight="1">
      <c r="A8" s="5">
        <v>7.0</v>
      </c>
      <c r="B8" s="6">
        <v>181.77850467289724</v>
      </c>
      <c r="C8" s="6">
        <v>7.995</v>
      </c>
      <c r="D8" s="6">
        <v>5.201266154078095</v>
      </c>
      <c r="E8" s="6">
        <v>45.77999999999997</v>
      </c>
      <c r="F8" s="6">
        <v>31.11600000000001</v>
      </c>
      <c r="G8" s="7">
        <v>1.43448</v>
      </c>
      <c r="H8" s="6">
        <f t="shared" si="1"/>
        <v>44.20989996</v>
      </c>
      <c r="I8" s="6">
        <v>11.0</v>
      </c>
      <c r="J8" s="6">
        <v>11.0</v>
      </c>
      <c r="K8" s="6">
        <v>22.0</v>
      </c>
      <c r="L8" s="6">
        <v>9.0</v>
      </c>
      <c r="M8" s="6">
        <v>69.0</v>
      </c>
      <c r="N8" s="6">
        <v>11.0</v>
      </c>
      <c r="O8" s="8" t="s">
        <v>23</v>
      </c>
      <c r="P8" s="6">
        <v>2.5712088686681014</v>
      </c>
      <c r="Q8" s="6">
        <v>30.26</v>
      </c>
      <c r="R8" s="6">
        <v>19.34</v>
      </c>
      <c r="S8" s="9">
        <f t="shared" si="2"/>
        <v>10.92</v>
      </c>
      <c r="T8" s="10" t="s">
        <v>32</v>
      </c>
      <c r="U8" s="11">
        <v>50.088813</v>
      </c>
      <c r="V8" s="11">
        <v>15.518079479</v>
      </c>
      <c r="W8" s="4" t="s">
        <v>25</v>
      </c>
    </row>
    <row r="9" ht="15.75" customHeight="1">
      <c r="A9" s="13">
        <v>8.0</v>
      </c>
      <c r="B9" s="6">
        <v>245.6455951580364</v>
      </c>
      <c r="C9" s="6">
        <v>8.114999999999998</v>
      </c>
      <c r="D9" s="6">
        <v>4.80016930437983</v>
      </c>
      <c r="E9" s="6">
        <v>44.38000000000002</v>
      </c>
      <c r="F9" s="6">
        <v>22.780000000000015</v>
      </c>
      <c r="G9" s="7">
        <v>1.3782799999999997</v>
      </c>
      <c r="H9" s="6">
        <f t="shared" si="1"/>
        <v>47.3250967</v>
      </c>
      <c r="I9" s="12"/>
      <c r="J9" s="6">
        <v>359.0</v>
      </c>
      <c r="K9" s="6">
        <v>22.0</v>
      </c>
      <c r="L9" s="6">
        <v>6.0</v>
      </c>
      <c r="M9" s="6">
        <v>72.0</v>
      </c>
      <c r="N9" s="12"/>
      <c r="O9" s="8" t="s">
        <v>27</v>
      </c>
      <c r="P9" s="6">
        <v>2.616578130693276</v>
      </c>
      <c r="Q9" s="6">
        <v>32.92</v>
      </c>
      <c r="R9" s="6">
        <v>21.98</v>
      </c>
      <c r="S9" s="9">
        <f t="shared" si="2"/>
        <v>10.94</v>
      </c>
      <c r="T9" s="10" t="s">
        <v>33</v>
      </c>
      <c r="U9" s="11">
        <v>50.088016</v>
      </c>
      <c r="V9" s="11">
        <v>15.51900577</v>
      </c>
      <c r="W9" s="4" t="s">
        <v>25</v>
      </c>
    </row>
    <row r="10" ht="15.75" customHeight="1">
      <c r="A10" s="13">
        <v>9.0</v>
      </c>
      <c r="B10" s="6">
        <v>191.70941336971345</v>
      </c>
      <c r="C10" s="6">
        <v>8.184999999999999</v>
      </c>
      <c r="D10" s="6">
        <v>4.207182462927144</v>
      </c>
      <c r="E10" s="6">
        <v>48.89599999999996</v>
      </c>
      <c r="F10" s="6">
        <v>22.091999999999985</v>
      </c>
      <c r="G10" s="7">
        <v>1.3073200000000003</v>
      </c>
      <c r="H10" s="6">
        <f t="shared" si="1"/>
        <v>47.55668307</v>
      </c>
      <c r="I10" s="6">
        <v>45.333333333333336</v>
      </c>
      <c r="J10" s="6">
        <v>45.333333333333336</v>
      </c>
      <c r="K10" s="6">
        <v>19.0</v>
      </c>
      <c r="L10" s="6">
        <v>9.0</v>
      </c>
      <c r="M10" s="6">
        <v>72.0</v>
      </c>
      <c r="N10" s="6">
        <v>45.333333333333336</v>
      </c>
      <c r="O10" s="8" t="s">
        <v>23</v>
      </c>
      <c r="P10" s="6">
        <v>2.4928247800523957</v>
      </c>
      <c r="Q10" s="6">
        <v>24.42</v>
      </c>
      <c r="R10" s="6">
        <v>15.78</v>
      </c>
      <c r="S10" s="9">
        <f t="shared" si="2"/>
        <v>8.64</v>
      </c>
      <c r="T10" s="10" t="s">
        <v>34</v>
      </c>
      <c r="U10" s="11">
        <v>50.090786</v>
      </c>
      <c r="V10" s="11">
        <v>15.510494</v>
      </c>
      <c r="W10" s="4" t="s">
        <v>25</v>
      </c>
    </row>
    <row r="11" ht="15.75" customHeight="1">
      <c r="A11" s="13">
        <v>10.0</v>
      </c>
      <c r="B11" s="6">
        <v>120.1801566579635</v>
      </c>
      <c r="C11" s="6">
        <v>6.955</v>
      </c>
      <c r="D11" s="6">
        <v>5.701309833971902</v>
      </c>
      <c r="E11" s="6">
        <v>53.444</v>
      </c>
      <c r="F11" s="6">
        <v>29.624000000000024</v>
      </c>
      <c r="G11" s="7">
        <v>1.2198799999999999</v>
      </c>
      <c r="H11" s="6">
        <f t="shared" si="1"/>
        <v>52.91552824</v>
      </c>
      <c r="I11" s="12"/>
      <c r="J11" s="6">
        <v>176.33333333333334</v>
      </c>
      <c r="K11" s="6">
        <v>34.0</v>
      </c>
      <c r="L11" s="6">
        <v>13.0</v>
      </c>
      <c r="M11" s="6">
        <v>53.0</v>
      </c>
      <c r="N11" s="12"/>
      <c r="O11" s="8" t="s">
        <v>27</v>
      </c>
      <c r="P11" s="6">
        <v>2.5908329312909</v>
      </c>
      <c r="Q11" s="6">
        <v>40.19</v>
      </c>
      <c r="R11" s="6">
        <v>26.95</v>
      </c>
      <c r="S11" s="9">
        <f t="shared" si="2"/>
        <v>13.24</v>
      </c>
      <c r="T11" s="10" t="s">
        <v>35</v>
      </c>
      <c r="U11" s="11">
        <v>50.091609</v>
      </c>
      <c r="V11" s="11">
        <v>15.512885419</v>
      </c>
      <c r="W11" s="4" t="s">
        <v>25</v>
      </c>
    </row>
    <row r="12" ht="15.75" customHeight="1">
      <c r="A12" s="13">
        <v>11.0</v>
      </c>
      <c r="B12" s="6">
        <v>126.36190476190477</v>
      </c>
      <c r="C12" s="6">
        <v>8.085</v>
      </c>
      <c r="D12" s="6">
        <v>2.3924530462778635</v>
      </c>
      <c r="E12" s="6">
        <v>35.611999999999966</v>
      </c>
      <c r="F12" s="6">
        <v>22.623999999999977</v>
      </c>
      <c r="G12" s="7">
        <v>1.7410800000000002</v>
      </c>
      <c r="H12" s="6">
        <f t="shared" si="1"/>
        <v>32.9984667</v>
      </c>
      <c r="I12" s="6">
        <v>45.333333333333336</v>
      </c>
      <c r="J12" s="6">
        <v>45.333333333333336</v>
      </c>
      <c r="K12" s="6">
        <v>14.0</v>
      </c>
      <c r="L12" s="6">
        <v>14.0</v>
      </c>
      <c r="M12" s="6">
        <v>72.0</v>
      </c>
      <c r="N12" s="6">
        <v>45.333333333333336</v>
      </c>
      <c r="O12" s="8" t="s">
        <v>23</v>
      </c>
      <c r="P12" s="6">
        <v>2.598567397215832</v>
      </c>
      <c r="Q12" s="6">
        <v>24.62</v>
      </c>
      <c r="R12" s="6">
        <v>14.94</v>
      </c>
      <c r="S12" s="9">
        <f t="shared" si="2"/>
        <v>9.68</v>
      </c>
      <c r="T12" s="10" t="s">
        <v>36</v>
      </c>
      <c r="U12" s="11">
        <v>50.091659754</v>
      </c>
      <c r="V12" s="11">
        <v>15.514903295</v>
      </c>
      <c r="W12" s="4" t="s">
        <v>25</v>
      </c>
    </row>
    <row r="13" ht="15.75" customHeight="1">
      <c r="A13" s="13">
        <v>12.0</v>
      </c>
      <c r="B13" s="6">
        <v>156.29795918367347</v>
      </c>
      <c r="C13" s="6">
        <v>7.22</v>
      </c>
      <c r="D13" s="6">
        <v>4.686170692431562</v>
      </c>
      <c r="E13" s="6">
        <v>51.31199999999999</v>
      </c>
      <c r="F13" s="6">
        <v>30.224000000000046</v>
      </c>
      <c r="G13" s="7">
        <v>1.3724399999999997</v>
      </c>
      <c r="H13" s="6">
        <f t="shared" si="1"/>
        <v>47.40827435</v>
      </c>
      <c r="I13" s="6">
        <v>174.66666666666666</v>
      </c>
      <c r="J13" s="6">
        <v>174.66666666666666</v>
      </c>
      <c r="K13" s="6">
        <v>34.0</v>
      </c>
      <c r="L13" s="6">
        <v>13.0</v>
      </c>
      <c r="M13" s="6">
        <v>53.0</v>
      </c>
      <c r="N13" s="14"/>
      <c r="O13" s="8" t="s">
        <v>27</v>
      </c>
      <c r="P13" s="6">
        <v>2.6096120314274667</v>
      </c>
      <c r="Q13" s="6">
        <v>38.04</v>
      </c>
      <c r="R13" s="6">
        <v>31.27</v>
      </c>
      <c r="S13" s="9">
        <f t="shared" si="2"/>
        <v>6.77</v>
      </c>
      <c r="T13" s="10" t="s">
        <v>37</v>
      </c>
      <c r="U13" s="11">
        <v>50.090879</v>
      </c>
      <c r="V13" s="11">
        <v>15.516263096</v>
      </c>
      <c r="W13" s="4" t="s">
        <v>25</v>
      </c>
    </row>
    <row r="14" ht="15.75" customHeight="1">
      <c r="A14" s="13">
        <v>13.0</v>
      </c>
      <c r="B14" s="6">
        <v>24.597222222222218</v>
      </c>
      <c r="C14" s="6">
        <v>4.99</v>
      </c>
      <c r="D14" s="6">
        <v>0.8249820692128382</v>
      </c>
      <c r="E14" s="6">
        <v>37.18800000000001</v>
      </c>
      <c r="F14" s="6">
        <v>7.188000000000011</v>
      </c>
      <c r="G14" s="7">
        <v>1.47848</v>
      </c>
      <c r="H14" s="6">
        <f t="shared" si="1"/>
        <v>43.88464362</v>
      </c>
      <c r="I14" s="6">
        <v>964.0</v>
      </c>
      <c r="J14" s="6">
        <v>964.0</v>
      </c>
      <c r="K14" s="6">
        <v>8.0</v>
      </c>
      <c r="L14" s="6">
        <v>2.0</v>
      </c>
      <c r="M14" s="6">
        <v>90.0</v>
      </c>
      <c r="N14" s="14"/>
      <c r="O14" s="8" t="s">
        <v>27</v>
      </c>
      <c r="P14" s="6">
        <v>2.6347155134558666</v>
      </c>
      <c r="Q14" s="6">
        <v>6.13</v>
      </c>
      <c r="R14" s="6">
        <v>4.16</v>
      </c>
      <c r="S14" s="9">
        <f t="shared" si="2"/>
        <v>1.97</v>
      </c>
      <c r="T14" s="10" t="s">
        <v>38</v>
      </c>
      <c r="U14" s="11">
        <v>50.090407</v>
      </c>
      <c r="V14" s="11">
        <v>15.517043232</v>
      </c>
      <c r="W14" s="4" t="s">
        <v>25</v>
      </c>
    </row>
    <row r="15" ht="15.75" customHeight="1">
      <c r="A15" s="13">
        <v>14.0</v>
      </c>
      <c r="B15" s="6">
        <v>54.806179775280896</v>
      </c>
      <c r="C15" s="6">
        <v>5.415</v>
      </c>
      <c r="D15" s="6">
        <v>1.7560437881351583</v>
      </c>
      <c r="E15" s="6">
        <v>38.544000000000004</v>
      </c>
      <c r="F15" s="6">
        <v>12.219999999999983</v>
      </c>
      <c r="G15" s="7">
        <v>1.5303600000000002</v>
      </c>
      <c r="H15" s="6">
        <f t="shared" si="1"/>
        <v>41.25097706</v>
      </c>
      <c r="I15" s="6">
        <v>420.6666666666667</v>
      </c>
      <c r="J15" s="6">
        <v>420.6666666666667</v>
      </c>
      <c r="K15" s="6">
        <v>7.0</v>
      </c>
      <c r="L15" s="6">
        <v>3.0</v>
      </c>
      <c r="M15" s="6">
        <v>90.0</v>
      </c>
      <c r="N15" s="14"/>
      <c r="O15" s="8" t="s">
        <v>27</v>
      </c>
      <c r="P15" s="6">
        <v>2.6049114068482986</v>
      </c>
      <c r="Q15" s="6">
        <v>9.0</v>
      </c>
      <c r="R15" s="6">
        <v>6.07</v>
      </c>
      <c r="S15" s="9">
        <f t="shared" si="2"/>
        <v>2.93</v>
      </c>
      <c r="T15" s="10" t="s">
        <v>39</v>
      </c>
      <c r="U15" s="11">
        <v>50.090363</v>
      </c>
      <c r="V15" s="11">
        <v>15.518558055</v>
      </c>
      <c r="W15" s="4" t="s">
        <v>25</v>
      </c>
    </row>
    <row r="16" ht="15.75" customHeight="1">
      <c r="A16" s="13">
        <v>15.0</v>
      </c>
      <c r="B16" s="6">
        <v>69.1519374575119</v>
      </c>
      <c r="C16" s="6">
        <v>5.9</v>
      </c>
      <c r="D16" s="6">
        <v>3.2749942907334204</v>
      </c>
      <c r="E16" s="6">
        <v>44.41199999999999</v>
      </c>
      <c r="F16" s="6">
        <v>12.527999999999997</v>
      </c>
      <c r="G16" s="7">
        <v>1.34324</v>
      </c>
      <c r="H16" s="6">
        <f t="shared" si="1"/>
        <v>48.61951176</v>
      </c>
      <c r="I16" s="12"/>
      <c r="J16" s="6">
        <v>2566.6666666666665</v>
      </c>
      <c r="K16" s="6">
        <v>9.0</v>
      </c>
      <c r="L16" s="6">
        <v>13.0</v>
      </c>
      <c r="M16" s="6">
        <v>78.0</v>
      </c>
      <c r="N16" s="14"/>
      <c r="O16" s="8" t="s">
        <v>27</v>
      </c>
      <c r="P16" s="6">
        <v>2.614299797280512</v>
      </c>
      <c r="Q16" s="6">
        <v>13.98</v>
      </c>
      <c r="R16" s="6">
        <v>10.47</v>
      </c>
      <c r="S16" s="9">
        <f t="shared" si="2"/>
        <v>3.51</v>
      </c>
      <c r="T16" s="10" t="s">
        <v>40</v>
      </c>
      <c r="U16" s="11">
        <v>50.091055</v>
      </c>
      <c r="V16" s="11">
        <v>15.518721663</v>
      </c>
      <c r="W16" s="4" t="s">
        <v>25</v>
      </c>
    </row>
    <row r="17" ht="15.75" customHeight="1">
      <c r="A17" s="13">
        <v>16.0</v>
      </c>
      <c r="B17" s="6">
        <v>70.10475234270416</v>
      </c>
      <c r="C17" s="6">
        <v>5.405</v>
      </c>
      <c r="D17" s="6">
        <v>2.2834449531284062</v>
      </c>
      <c r="E17" s="6">
        <v>39.33199999999997</v>
      </c>
      <c r="F17" s="6">
        <v>11.211999999999966</v>
      </c>
      <c r="G17" s="7">
        <v>1.5171200000000002</v>
      </c>
      <c r="H17" s="6">
        <f t="shared" si="1"/>
        <v>42.35192229</v>
      </c>
      <c r="I17" s="6">
        <v>295.75</v>
      </c>
      <c r="J17" s="6">
        <v>295.75</v>
      </c>
      <c r="K17" s="6">
        <v>7.0</v>
      </c>
      <c r="L17" s="6">
        <v>5.0</v>
      </c>
      <c r="M17" s="6">
        <v>88.0</v>
      </c>
      <c r="N17" s="14"/>
      <c r="O17" s="8" t="s">
        <v>27</v>
      </c>
      <c r="P17" s="6">
        <v>2.631692261661181</v>
      </c>
      <c r="Q17" s="6">
        <v>10.57</v>
      </c>
      <c r="R17" s="6">
        <v>7.61</v>
      </c>
      <c r="S17" s="9">
        <f t="shared" si="2"/>
        <v>2.96</v>
      </c>
      <c r="T17" s="10" t="s">
        <v>41</v>
      </c>
      <c r="U17" s="11">
        <v>50.09093</v>
      </c>
      <c r="V17" s="11">
        <v>15.520224081</v>
      </c>
      <c r="W17" s="4" t="s">
        <v>25</v>
      </c>
    </row>
    <row r="18" ht="15.75" customHeight="1">
      <c r="A18" s="13">
        <v>17.0</v>
      </c>
      <c r="B18" s="6">
        <v>213.93504531722058</v>
      </c>
      <c r="C18" s="6">
        <v>8.004999999999999</v>
      </c>
      <c r="D18" s="6">
        <v>3.357824197860962</v>
      </c>
      <c r="E18" s="6">
        <v>46.827999999999975</v>
      </c>
      <c r="F18" s="6">
        <v>28.967999999999982</v>
      </c>
      <c r="G18" s="7">
        <v>1.49756</v>
      </c>
      <c r="H18" s="6">
        <f t="shared" si="1"/>
        <v>42.72945155</v>
      </c>
      <c r="I18" s="6">
        <v>6.333333333333333</v>
      </c>
      <c r="J18" s="6">
        <v>6.333333333333333</v>
      </c>
      <c r="K18" s="6">
        <v>42.0</v>
      </c>
      <c r="L18" s="6">
        <v>18.0</v>
      </c>
      <c r="M18" s="6">
        <v>40.0</v>
      </c>
      <c r="N18" s="6">
        <v>6.333333333333333</v>
      </c>
      <c r="O18" s="8" t="s">
        <v>23</v>
      </c>
      <c r="P18" s="6">
        <v>2.6148867797805715</v>
      </c>
      <c r="Q18" s="6">
        <v>38.06</v>
      </c>
      <c r="R18" s="6">
        <v>32.67</v>
      </c>
      <c r="S18" s="9">
        <f t="shared" si="2"/>
        <v>5.39</v>
      </c>
      <c r="T18" s="10" t="s">
        <v>42</v>
      </c>
      <c r="U18" s="11">
        <v>50.091812</v>
      </c>
      <c r="V18" s="11">
        <v>15.52026704</v>
      </c>
      <c r="W18" s="4" t="s">
        <v>25</v>
      </c>
    </row>
    <row r="19" ht="15.75" customHeight="1">
      <c r="A19" s="13">
        <v>18.0</v>
      </c>
      <c r="B19" s="6">
        <v>219.79858379228955</v>
      </c>
      <c r="C19" s="6">
        <v>8.16</v>
      </c>
      <c r="D19" s="6">
        <v>2.913773037754594</v>
      </c>
      <c r="E19" s="6">
        <v>47.911999999999985</v>
      </c>
      <c r="F19" s="6">
        <v>27.664000000000033</v>
      </c>
      <c r="G19" s="7">
        <v>1.5024399999999996</v>
      </c>
      <c r="H19" s="6">
        <f t="shared" si="1"/>
        <v>42.46159949</v>
      </c>
      <c r="I19" s="6">
        <v>1.0</v>
      </c>
      <c r="J19" s="6">
        <v>1.0</v>
      </c>
      <c r="K19" s="6">
        <v>39.0</v>
      </c>
      <c r="L19" s="6">
        <v>19.0</v>
      </c>
      <c r="M19" s="6">
        <v>42.0</v>
      </c>
      <c r="N19" s="6">
        <v>1.0</v>
      </c>
      <c r="O19" s="8" t="s">
        <v>23</v>
      </c>
      <c r="P19" s="6">
        <v>2.6111952831695344</v>
      </c>
      <c r="Q19" s="6">
        <v>39.24</v>
      </c>
      <c r="R19" s="6">
        <v>32.05</v>
      </c>
      <c r="S19" s="9">
        <f t="shared" si="2"/>
        <v>7.19</v>
      </c>
      <c r="T19" s="10" t="s">
        <v>43</v>
      </c>
      <c r="U19" s="11">
        <v>50.092192</v>
      </c>
      <c r="V19" s="11">
        <v>15.519236976</v>
      </c>
      <c r="W19" s="4" t="s">
        <v>25</v>
      </c>
    </row>
    <row r="20" ht="15.75" customHeight="1">
      <c r="A20" s="13">
        <v>19.0</v>
      </c>
      <c r="B20" s="6">
        <v>125.9248861911988</v>
      </c>
      <c r="C20" s="6">
        <v>7.109999999999999</v>
      </c>
      <c r="D20" s="6">
        <v>4.446536963841312</v>
      </c>
      <c r="E20" s="6">
        <v>48.31319999999996</v>
      </c>
      <c r="F20" s="6">
        <v>29.187999999999963</v>
      </c>
      <c r="G20" s="7">
        <v>1.5328000000000002</v>
      </c>
      <c r="H20" s="6">
        <f t="shared" si="1"/>
        <v>40.60803014</v>
      </c>
      <c r="I20" s="6">
        <v>3.2</v>
      </c>
      <c r="J20" s="6">
        <v>3.2</v>
      </c>
      <c r="K20" s="6">
        <v>31.0</v>
      </c>
      <c r="L20" s="6">
        <v>10.0</v>
      </c>
      <c r="M20" s="6">
        <v>59.0</v>
      </c>
      <c r="N20" s="6">
        <v>3.2</v>
      </c>
      <c r="O20" s="8" t="s">
        <v>23</v>
      </c>
      <c r="P20" s="6">
        <v>2.5808202753732923</v>
      </c>
      <c r="Q20" s="6">
        <v>34.59</v>
      </c>
      <c r="R20" s="6">
        <v>27.71</v>
      </c>
      <c r="S20" s="9">
        <f t="shared" si="2"/>
        <v>6.88</v>
      </c>
      <c r="T20" s="10" t="s">
        <v>44</v>
      </c>
      <c r="U20" s="11">
        <v>50.091953216</v>
      </c>
      <c r="V20" s="11">
        <v>15.517930867</v>
      </c>
      <c r="W20" s="4" t="s">
        <v>25</v>
      </c>
    </row>
    <row r="21" ht="15.75" customHeight="1">
      <c r="A21" s="13">
        <v>20.0</v>
      </c>
      <c r="B21" s="6">
        <v>72.88767123287671</v>
      </c>
      <c r="C21" s="6">
        <v>6.470000000000001</v>
      </c>
      <c r="D21" s="6">
        <v>1.8977684588887223</v>
      </c>
      <c r="E21" s="6">
        <v>42.948</v>
      </c>
      <c r="F21" s="6">
        <v>11.836000000000013</v>
      </c>
      <c r="G21" s="7">
        <v>1.7011599999999998</v>
      </c>
      <c r="H21" s="6">
        <f t="shared" si="1"/>
        <v>34.93493586</v>
      </c>
      <c r="I21" s="6">
        <v>107.0</v>
      </c>
      <c r="J21" s="6">
        <v>107.0</v>
      </c>
      <c r="K21" s="6">
        <v>10.0</v>
      </c>
      <c r="L21" s="6">
        <v>7.0</v>
      </c>
      <c r="M21" s="6">
        <v>83.0</v>
      </c>
      <c r="N21" s="14"/>
      <c r="O21" s="8" t="s">
        <v>27</v>
      </c>
      <c r="P21" s="6">
        <v>2.614552098564146</v>
      </c>
      <c r="Q21" s="6">
        <v>13.01</v>
      </c>
      <c r="R21" s="6">
        <v>9.86</v>
      </c>
      <c r="S21" s="9">
        <f t="shared" si="2"/>
        <v>3.15</v>
      </c>
      <c r="T21" s="10" t="s">
        <v>45</v>
      </c>
      <c r="U21" s="11">
        <v>50.09184</v>
      </c>
      <c r="V21" s="11">
        <v>15.51695282</v>
      </c>
      <c r="W21" s="4" t="s">
        <v>25</v>
      </c>
    </row>
    <row r="22" ht="15.75" customHeight="1">
      <c r="A22" s="13">
        <v>21.0</v>
      </c>
      <c r="B22" s="6">
        <v>140.80921052631578</v>
      </c>
      <c r="C22" s="6">
        <v>7.115</v>
      </c>
      <c r="D22" s="6">
        <v>4.88017039244908</v>
      </c>
      <c r="E22" s="6">
        <v>48.74400000000001</v>
      </c>
      <c r="F22" s="6">
        <v>27.792000000000005</v>
      </c>
      <c r="G22" s="7">
        <v>1.4581199999999999</v>
      </c>
      <c r="H22" s="6">
        <f t="shared" si="1"/>
        <v>43.76263413</v>
      </c>
      <c r="I22" s="6">
        <v>5.5</v>
      </c>
      <c r="J22" s="6">
        <v>5.5</v>
      </c>
      <c r="K22" s="6">
        <v>26.0</v>
      </c>
      <c r="L22" s="6">
        <v>8.0</v>
      </c>
      <c r="M22" s="6">
        <v>66.0</v>
      </c>
      <c r="N22" s="6">
        <v>5.5</v>
      </c>
      <c r="O22" s="8" t="s">
        <v>23</v>
      </c>
      <c r="P22" s="6">
        <v>2.5927956929078064</v>
      </c>
      <c r="Q22" s="6">
        <v>22.23</v>
      </c>
      <c r="R22" s="6">
        <v>17.96</v>
      </c>
      <c r="S22" s="9">
        <f t="shared" si="2"/>
        <v>4.27</v>
      </c>
      <c r="T22" s="10" t="s">
        <v>46</v>
      </c>
      <c r="U22" s="11">
        <v>50.090586</v>
      </c>
      <c r="V22" s="11">
        <v>15.514953385</v>
      </c>
      <c r="W22" s="4" t="s">
        <v>25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